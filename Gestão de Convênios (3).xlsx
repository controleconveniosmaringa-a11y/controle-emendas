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ções de Crédit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<sst xmlns="http://schemas.openxmlformats.org/spreadsheetml/2006/main" count="124" uniqueCount="99">
  <si>
    <t xml:space="preserve">FINISA nº 0630062-95/2024 – Investimento em Infraestrutura Urbana - Fonte 1257</t>
  </si>
  <si>
    <t xml:space="preserve">DOTAÇÃO ORÇAMENTÁRIA</t>
  </si>
  <si>
    <t xml:space="preserve">PROJETOS/AÇÕES DE INVESTIMENTO</t>
  </si>
  <si>
    <t xml:space="preserve">VALORES APROVADOS</t>
  </si>
  <si>
    <t xml:space="preserve">PAGO</t>
  </si>
  <si>
    <t xml:space="preserve">SALDO</t>
  </si>
  <si>
    <t xml:space="preserve">% DE EXECUÇÃO</t>
  </si>
  <si>
    <t xml:space="preserve">Outros tipos de investimentos</t>
  </si>
  <si>
    <t xml:space="preserve">03.010.15.451.0014.1.002.4.4.90.61</t>
  </si>
  <si>
    <t xml:space="preserve">Pagamento de desapropriação de áreas</t>
  </si>
  <si>
    <t xml:space="preserve">Contrapartida em contratos e convênios de repasse com a CAIXA</t>
  </si>
  <si>
    <t xml:space="preserve">08.010.10.302.0012.1.036.4.4.90.51</t>
  </si>
  <si>
    <t xml:space="preserve">Contrato de Repasse nº 853339/17 – Ampliação e/ou reforma do Hospital Municipal</t>
  </si>
  <si>
    <t xml:space="preserve">12.020.23.695.0006.1.126.4.4.90.51</t>
  </si>
  <si>
    <t xml:space="preserve">Contrato de Repasse nº 909073/20 – Construção do Centro de Eventos Oscar Niemeyer</t>
  </si>
  <si>
    <t xml:space="preserve">Creches, escolas, bibliotecas, centros de pesquisa</t>
  </si>
  <si>
    <t xml:space="preserve">09.020.12.365.0016.5.031.4.4.90.51</t>
  </si>
  <si>
    <t xml:space="preserve">CMEI Marcia do Rocio B. Socreppa (Bom Jardim) – Construção com 15 salas</t>
  </si>
  <si>
    <t xml:space="preserve">CMEI Ângelo Viegas – Demolição e Construção com 13 salas</t>
  </si>
  <si>
    <t xml:space="preserve">09.020.12.365.0016.5.031.4.4.90.61</t>
  </si>
  <si>
    <t xml:space="preserve">Aquisição de imóveis para Construção de Centros Municipais de Educação Infantil</t>
  </si>
  <si>
    <t xml:space="preserve">09.030.12.361.0017.5.033.4.4.90.51</t>
  </si>
  <si>
    <t xml:space="preserve">Construção de escola de ensino fundamental (Floriano)</t>
  </si>
  <si>
    <t xml:space="preserve">Espaços esportivos, lazer, culturais</t>
  </si>
  <si>
    <t xml:space="preserve">15.020.27.812.0013.1.009.4.4.90.51</t>
  </si>
  <si>
    <t xml:space="preserve">Implantação do Centro de Vôlei de Praia</t>
  </si>
  <si>
    <t xml:space="preserve">Implantação de novos espaços esportivos</t>
  </si>
  <si>
    <t xml:space="preserve">15.020.27.812.0013.1.016.4.4.90.51</t>
  </si>
  <si>
    <t xml:space="preserve">Reforma e Ampliação do Centro Esportivo Dr. Luiz Moreira de Carvalho (Vila Operária)</t>
  </si>
  <si>
    <t xml:space="preserve">Aditivo Reforma e Ampliação do Centro Esportivo Três Lagoas</t>
  </si>
  <si>
    <t xml:space="preserve">Aditivo Reforma e Ampliação do Centro Esportivo Floriano</t>
  </si>
  <si>
    <t xml:space="preserve">Aditivo/Reajuste Reforma e Ampliação Centro Esportivo Mandacaru</t>
  </si>
  <si>
    <t xml:space="preserve">Habitação de Interesse Social</t>
  </si>
  <si>
    <t xml:space="preserve">07.020.16.482.0009.1.021.4.4.90.51</t>
  </si>
  <si>
    <t xml:space="preserve">Construção do Condomínio da Pessoa com Deficiência – PCD</t>
  </si>
  <si>
    <t xml:space="preserve">Investimentos em segurança pública</t>
  </si>
  <si>
    <t xml:space="preserve">26.010.06.122.0021.2.176.4.4.90.52</t>
  </si>
  <si>
    <t xml:space="preserve">Aquisição de aparelhos de ar condicionado</t>
  </si>
  <si>
    <t xml:space="preserve">26.010.06.181.0021.2.125.4.4.90.52</t>
  </si>
  <si>
    <t xml:space="preserve">Aquisição de pistolas</t>
  </si>
  <si>
    <t xml:space="preserve">Aquisição de veículo</t>
  </si>
  <si>
    <t xml:space="preserve">Aquisição de mesas</t>
  </si>
  <si>
    <t xml:space="preserve">Aquisição de cadeiras</t>
  </si>
  <si>
    <t xml:space="preserve">Aquisição de 12 armários em aço com 8 portas</t>
  </si>
  <si>
    <t xml:space="preserve">Aquisição de armários</t>
  </si>
  <si>
    <t xml:space="preserve">Aquisição de microcompuradores</t>
  </si>
  <si>
    <t xml:space="preserve">26.010.06.183.0021.2.174.4.4.90.52</t>
  </si>
  <si>
    <t xml:space="preserve">Pavimentação, calçamento, recapeamento, reperfilamento e afins (exceto rodovias)</t>
  </si>
  <si>
    <t xml:space="preserve">19.010.15.452.0010.2.126.4.4.90.39</t>
  </si>
  <si>
    <t xml:space="preserve">Recapeamento asfáltico</t>
  </si>
  <si>
    <t xml:space="preserve">20.010.15.451.0014.1.006.4.4.90.39</t>
  </si>
  <si>
    <t xml:space="preserve">Execução de Calçadas e Alambrados em vias públicas</t>
  </si>
  <si>
    <t xml:space="preserve">20.010.15.451.0014.1.014.4.4.90.51</t>
  </si>
  <si>
    <t xml:space="preserve">Drenagem e pavimentação na Rua Gertrude</t>
  </si>
  <si>
    <t xml:space="preserve">Drenagem e pavimentação na Rua Íris</t>
  </si>
  <si>
    <t xml:space="preserve">Pavimentação asfáltica e adequação de redes pluviais na rua Fernão Dias, Azulão, Tókio/Herval e Ametista</t>
  </si>
  <si>
    <t xml:space="preserve">Pavimentação e drenagem no Distrito de Iguatemi</t>
  </si>
  <si>
    <t xml:space="preserve">20.010.15.451.0014.1.014.4.4.90.61</t>
  </si>
  <si>
    <t xml:space="preserve">Aquisição de Imóveis (Av. João Pereira)</t>
  </si>
  <si>
    <t xml:space="preserve">20.010.15.451.0014.1.020.4.4.90.51</t>
  </si>
  <si>
    <t xml:space="preserve">Implantação da Ciclovia Tuiuti</t>
  </si>
  <si>
    <t xml:space="preserve">20.010.17.512.0014.1.013.4.4.90.51</t>
  </si>
  <si>
    <t xml:space="preserve">Drenagem na Rua Mandaguari</t>
  </si>
  <si>
    <t xml:space="preserve">Praças, espaços e prédios públicos, parquinhos, jardins, monumentos, cemitérios</t>
  </si>
  <si>
    <t xml:space="preserve">12.020.23.695.0006.1.048.4.4.90.51</t>
  </si>
  <si>
    <t xml:space="preserve">Reforma do Deck do Parque do Japão</t>
  </si>
  <si>
    <t xml:space="preserve">Construção do Centro de Eventos Oscar Niemeyer</t>
  </si>
  <si>
    <t xml:space="preserve">13.010.08.306.0022.1.108.4.4.90.51</t>
  </si>
  <si>
    <t xml:space="preserve">Construção do Restaurante Popular e Cozinha Central</t>
  </si>
  <si>
    <t xml:space="preserve">13.020.08.243.0019.5.079.4.4.90.51</t>
  </si>
  <si>
    <t xml:space="preserve">Construção para rede de proteção social especial para crianças e adolescentes</t>
  </si>
  <si>
    <t xml:space="preserve">20.010.04.122.0002.1.005.4.4.90.51</t>
  </si>
  <si>
    <t xml:space="preserve">Melhorias em prédios públicos – Adequação de Rampas e Escadas do Paço Municipal</t>
  </si>
  <si>
    <t xml:space="preserve">20.010.15.451.0014.1.112.4.4.90.51</t>
  </si>
  <si>
    <t xml:space="preserve">Implantação do Eixo Monumental</t>
  </si>
  <si>
    <t xml:space="preserve">Unidades de Saúde, Hospitais, Laboratórios</t>
  </si>
  <si>
    <t xml:space="preserve">08.010.10.301.0012.1.025.4.4.90.51</t>
  </si>
  <si>
    <t xml:space="preserve">Ampliação e Reforma UBS Vila Operária</t>
  </si>
  <si>
    <t xml:space="preserve">08.010.10.301.0012.1.026.4.4.90.51</t>
  </si>
  <si>
    <t xml:space="preserve">Construção UBS Andréa</t>
  </si>
  <si>
    <t xml:space="preserve">Construção da UBS São Clemente</t>
  </si>
  <si>
    <t xml:space="preserve">08.010.10.302.0012.1.017.4.4.90.51</t>
  </si>
  <si>
    <t xml:space="preserve">CAPS AD III</t>
  </si>
  <si>
    <t xml:space="preserve">08.010.10.302.0012.1.027.4.4.90.51</t>
  </si>
  <si>
    <t xml:space="preserve">Reforma da UPA Zona Norte</t>
  </si>
  <si>
    <t xml:space="preserve">Ampliação e/ou reforma do Hospital Municipal</t>
  </si>
  <si>
    <t xml:space="preserve">VALORES TOTAIS</t>
  </si>
  <si>
    <t xml:space="preserve">Contrato de Financiamento FINISA nº 0612.664-90/2023 – Despesas de Capital Fonte 41197</t>
  </si>
  <si>
    <t xml:space="preserve">15.010.27.812.0013.1.016.4.4.90.51</t>
  </si>
  <si>
    <t xml:space="preserve">Contrato de Repasse nº 941449/23 - Reforma de Salão em alvenaria na Vila Olímpica</t>
  </si>
  <si>
    <t xml:space="preserve">Eficiência energética, iluminação em LED, equupamentos para geração de energia fotovoltaica e eólica</t>
  </si>
  <si>
    <t xml:space="preserve">19.010.15.451.0014.1.127.4.4.90.51</t>
  </si>
  <si>
    <t xml:space="preserve">Implantação de Usina fotovoltaica</t>
  </si>
  <si>
    <t xml:space="preserve">Construção de Unidades de Média e Alta Complexidade</t>
  </si>
  <si>
    <t xml:space="preserve">13.020.08.244.0022.1.091.4.4.90.51</t>
  </si>
  <si>
    <t xml:space="preserve">Ampliação e/ou reforma dos Centros Comunitários de Múltiplo Uso</t>
  </si>
  <si>
    <t xml:space="preserve">Melhorias em espaços esportivos e de lazer</t>
  </si>
  <si>
    <t xml:space="preserve">Manutenção da pavimentação asfáltica e galerias pluviais (Recapeamento)</t>
  </si>
  <si>
    <t xml:space="preserve">Execução de pavimentação asfáltica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</si>
</sst>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"/>
    <numFmt numFmtId="166" formatCode="0.00%"/>
    <numFmt numFmtId="167" formatCode="0%"/>
    <numFmt numFmtId="168" formatCode="#,##0.0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i val="true"/>
      <sz val="13"/>
      <color rgb="FF000000"/>
      <name val="Arial"/>
      <family val="0"/>
      <charset val="1"/>
    </font>
    <font>
      <i val="true"/>
      <sz val="13"/>
      <color rgb="FF000000"/>
      <name val="Arial"/>
      <family val="0"/>
      <charset val="1"/>
    </font>
    <font>
      <i val="true"/>
      <sz val="13"/>
      <color rgb="FFFF0000"/>
      <name val="Arial"/>
      <family val="0"/>
      <charset val="1"/>
    </font>
    <font>
      <b val="true"/>
      <sz val="13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93C47D"/>
        <bgColor rgb="FF84E29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84E291"/>
        <bgColor rgb="FF93C47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E29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7.78"/>
    <col collapsed="false" customWidth="true" hidden="false" outlineLevel="0" max="2" min="2" style="0" width="36.38"/>
    <col collapsed="false" customWidth="true" hidden="false" outlineLevel="0" max="3" min="3" style="0" width="20.5"/>
    <col collapsed="false" customWidth="true" hidden="false" outlineLevel="0" max="4" min="4" style="0" width="18.51"/>
    <col collapsed="false" customWidth="true" hidden="false" outlineLevel="0" max="5" min="5" style="0" width="19"/>
    <col collapsed="false" customWidth="true" hidden="false" outlineLevel="0" max="6" min="6" style="0" width="23.38"/>
    <col collapsed="false" customWidth="true" hidden="false" outlineLevel="0" max="1024" min="1017" style="0" width="11.52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false" outlineLevel="0" collapsed="false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</row>
    <row r="3" customFormat="false" ht="39.55" hidden="false" customHeight="tru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2"/>
      <c r="H3" s="2"/>
      <c r="I3" s="2"/>
      <c r="J3" s="2"/>
      <c r="K3" s="2"/>
      <c r="L3" s="2"/>
      <c r="M3" s="2"/>
      <c r="N3" s="2"/>
    </row>
    <row r="4" customFormat="false" ht="33.75" hidden="false" customHeight="true" outlineLevel="0" collapsed="false">
      <c r="A4" s="5"/>
      <c r="B4" s="6" t="s">
        <v>7</v>
      </c>
      <c r="C4" s="7" t="n">
        <f aca="false">SUM(C5)</f>
        <v>83359349.24</v>
      </c>
      <c r="D4" s="7" t="n">
        <f aca="false">SUM(D5)</f>
        <v>82021657.25</v>
      </c>
      <c r="E4" s="7" t="n">
        <f aca="false">C4-D4</f>
        <v>1337691.98999999</v>
      </c>
      <c r="F4" s="8"/>
      <c r="G4" s="2"/>
      <c r="H4" s="2"/>
      <c r="I4" s="2"/>
      <c r="J4" s="2"/>
      <c r="K4" s="2"/>
      <c r="L4" s="2"/>
      <c r="M4" s="2"/>
      <c r="N4" s="2"/>
    </row>
    <row r="5" customFormat="false" ht="30.55" hidden="false" customHeight="true" outlineLevel="0" collapsed="false">
      <c r="A5" s="9" t="s">
        <v>8</v>
      </c>
      <c r="B5" s="5" t="s">
        <v>9</v>
      </c>
      <c r="C5" s="10" t="n">
        <v>83359349.24</v>
      </c>
      <c r="D5" s="11" t="n">
        <v>82021657.25</v>
      </c>
      <c r="E5" s="10" t="n">
        <f aca="false">C5-D5</f>
        <v>1337691.98999999</v>
      </c>
      <c r="F5" s="12" t="n">
        <f aca="false">D5/C5</f>
        <v>0.983952705938855</v>
      </c>
      <c r="G5" s="2"/>
      <c r="H5" s="2"/>
      <c r="I5" s="2"/>
      <c r="J5" s="2"/>
      <c r="K5" s="2"/>
      <c r="L5" s="2"/>
      <c r="M5" s="2"/>
      <c r="N5" s="2"/>
    </row>
    <row r="6" customFormat="false" ht="15.75" hidden="false" customHeight="false" outlineLevel="0" collapsed="false">
      <c r="A6" s="5"/>
      <c r="B6" s="5"/>
      <c r="C6" s="13"/>
      <c r="D6" s="13"/>
      <c r="E6" s="13"/>
      <c r="F6" s="5"/>
      <c r="G6" s="2"/>
      <c r="H6" s="2"/>
      <c r="I6" s="2"/>
      <c r="J6" s="2"/>
      <c r="K6" s="2"/>
      <c r="L6" s="2"/>
      <c r="M6" s="2"/>
      <c r="N6" s="2"/>
    </row>
    <row r="7" customFormat="false" ht="47.75" hidden="false" customHeight="true" outlineLevel="0" collapsed="false">
      <c r="A7" s="5"/>
      <c r="B7" s="6" t="s">
        <v>10</v>
      </c>
      <c r="C7" s="7" t="n">
        <f aca="false">SUM(C8:C9)</f>
        <v>11462740.28</v>
      </c>
      <c r="D7" s="7" t="n">
        <f aca="false">SUM(D8:D9)</f>
        <v>5285380.91</v>
      </c>
      <c r="E7" s="7" t="n">
        <f aca="false">C7-D7</f>
        <v>6177359.37</v>
      </c>
      <c r="F7" s="5"/>
      <c r="G7" s="2"/>
      <c r="H7" s="2"/>
      <c r="I7" s="2"/>
      <c r="J7" s="2"/>
      <c r="K7" s="2"/>
      <c r="L7" s="2"/>
      <c r="M7" s="2"/>
      <c r="N7" s="2"/>
    </row>
    <row r="8" customFormat="false" ht="55.95" hidden="false" customHeight="true" outlineLevel="0" collapsed="false">
      <c r="A8" s="14" t="s">
        <v>11</v>
      </c>
      <c r="B8" s="5" t="s">
        <v>12</v>
      </c>
      <c r="C8" s="10" t="n">
        <v>3381511.84</v>
      </c>
      <c r="D8" s="10" t="n">
        <v>907039.25</v>
      </c>
      <c r="E8" s="10" t="n">
        <f aca="false">C8-D8</f>
        <v>2474472.59</v>
      </c>
      <c r="F8" s="12" t="n">
        <f aca="false">D8/C8</f>
        <v>0.268234828951538</v>
      </c>
      <c r="G8" s="2"/>
      <c r="H8" s="2"/>
      <c r="I8" s="2"/>
      <c r="J8" s="2"/>
      <c r="K8" s="2"/>
      <c r="L8" s="2"/>
      <c r="M8" s="2"/>
      <c r="N8" s="2"/>
    </row>
    <row r="9" customFormat="false" ht="65.65" hidden="false" customHeight="true" outlineLevel="0" collapsed="false">
      <c r="A9" s="14" t="s">
        <v>13</v>
      </c>
      <c r="B9" s="5" t="s">
        <v>14</v>
      </c>
      <c r="C9" s="10" t="n">
        <v>8081228.44</v>
      </c>
      <c r="D9" s="10" t="n">
        <v>4378341.66</v>
      </c>
      <c r="E9" s="10" t="n">
        <f aca="false">C9-D9</f>
        <v>3702886.78</v>
      </c>
      <c r="F9" s="12" t="n">
        <f aca="false">D9/C9</f>
        <v>0.541791596724124</v>
      </c>
      <c r="G9" s="2"/>
      <c r="H9" s="2"/>
      <c r="I9" s="2"/>
      <c r="J9" s="2"/>
      <c r="K9" s="2"/>
      <c r="L9" s="2"/>
      <c r="M9" s="2"/>
      <c r="N9" s="2"/>
    </row>
    <row r="10" customFormat="false" ht="15.75" hidden="false" customHeight="false" outlineLevel="0" collapsed="false">
      <c r="A10" s="15"/>
      <c r="B10" s="16"/>
      <c r="C10" s="17"/>
      <c r="D10" s="17"/>
      <c r="E10" s="17"/>
      <c r="F10" s="18"/>
      <c r="G10" s="2"/>
      <c r="H10" s="2"/>
      <c r="I10" s="2"/>
      <c r="J10" s="2"/>
      <c r="K10" s="2"/>
      <c r="L10" s="2"/>
      <c r="M10" s="2"/>
      <c r="N10" s="2"/>
    </row>
    <row r="11" customFormat="false" ht="35.05" hidden="false" customHeight="true" outlineLevel="0" collapsed="false">
      <c r="A11" s="8"/>
      <c r="B11" s="6" t="s">
        <v>15</v>
      </c>
      <c r="C11" s="7" t="n">
        <f aca="false">SUM(C12:C15)</f>
        <v>21880282.81</v>
      </c>
      <c r="D11" s="7" t="n">
        <v>12520282.81</v>
      </c>
      <c r="E11" s="7" t="n">
        <v>0</v>
      </c>
      <c r="F11" s="5"/>
      <c r="G11" s="2"/>
      <c r="H11" s="2"/>
      <c r="I11" s="2"/>
      <c r="J11" s="2"/>
      <c r="K11" s="2"/>
      <c r="L11" s="2"/>
      <c r="M11" s="2"/>
      <c r="N11" s="2"/>
    </row>
    <row r="12" customFormat="false" ht="49.95" hidden="false" customHeight="true" outlineLevel="0" collapsed="false">
      <c r="A12" s="14" t="s">
        <v>16</v>
      </c>
      <c r="B12" s="5" t="s">
        <v>17</v>
      </c>
      <c r="C12" s="10" t="n">
        <v>3137008.45</v>
      </c>
      <c r="D12" s="10" t="n">
        <v>3137008.45</v>
      </c>
      <c r="E12" s="19" t="n">
        <v>0</v>
      </c>
      <c r="F12" s="20" t="n">
        <v>1</v>
      </c>
      <c r="G12" s="2"/>
      <c r="H12" s="2"/>
      <c r="I12" s="2"/>
      <c r="J12" s="2"/>
      <c r="K12" s="2"/>
      <c r="L12" s="2"/>
      <c r="M12" s="2"/>
      <c r="N12" s="2"/>
    </row>
    <row r="13" customFormat="false" ht="38.8" hidden="false" customHeight="true" outlineLevel="0" collapsed="false">
      <c r="A13" s="14" t="s">
        <v>16</v>
      </c>
      <c r="B13" s="5" t="s">
        <v>18</v>
      </c>
      <c r="C13" s="10" t="n">
        <v>300000</v>
      </c>
      <c r="D13" s="10" t="n">
        <v>300000</v>
      </c>
      <c r="E13" s="19" t="n">
        <v>0</v>
      </c>
      <c r="F13" s="20" t="n">
        <v>1</v>
      </c>
      <c r="G13" s="2"/>
      <c r="H13" s="2"/>
      <c r="I13" s="2"/>
      <c r="J13" s="2"/>
      <c r="K13" s="2"/>
      <c r="L13" s="2"/>
      <c r="M13" s="2"/>
      <c r="N13" s="2"/>
    </row>
    <row r="14" customFormat="false" ht="52.95" hidden="false" customHeight="true" outlineLevel="0" collapsed="false">
      <c r="A14" s="14" t="s">
        <v>19</v>
      </c>
      <c r="B14" s="5" t="s">
        <v>20</v>
      </c>
      <c r="C14" s="10" t="n">
        <v>9083274.36</v>
      </c>
      <c r="D14" s="10" t="n">
        <v>9083274.36</v>
      </c>
      <c r="E14" s="19" t="n">
        <v>0</v>
      </c>
      <c r="F14" s="20" t="n">
        <v>1</v>
      </c>
      <c r="G14" s="2"/>
      <c r="H14" s="2"/>
      <c r="I14" s="2"/>
      <c r="J14" s="2"/>
      <c r="K14" s="2"/>
      <c r="L14" s="2"/>
      <c r="M14" s="2"/>
      <c r="N14" s="2"/>
    </row>
    <row r="15" customFormat="false" ht="35.05" hidden="false" customHeight="true" outlineLevel="0" collapsed="false">
      <c r="A15" s="14" t="s">
        <v>21</v>
      </c>
      <c r="B15" s="5" t="s">
        <v>22</v>
      </c>
      <c r="C15" s="13" t="n">
        <v>9360000</v>
      </c>
      <c r="D15" s="13" t="n">
        <v>0</v>
      </c>
      <c r="E15" s="13" t="n">
        <f aca="false">C15-D15</f>
        <v>9360000</v>
      </c>
      <c r="F15" s="20" t="n">
        <f aca="false">D15/C15</f>
        <v>0</v>
      </c>
      <c r="G15" s="2"/>
      <c r="H15" s="2"/>
      <c r="I15" s="2"/>
      <c r="J15" s="2"/>
      <c r="K15" s="2"/>
      <c r="L15" s="2"/>
      <c r="M15" s="2"/>
      <c r="N15" s="2"/>
    </row>
    <row r="16" customFormat="false" ht="15.75" hidden="false" customHeight="false" outlineLevel="0" collapsed="false">
      <c r="A16" s="15"/>
      <c r="B16" s="16"/>
      <c r="C16" s="17"/>
      <c r="D16" s="17"/>
      <c r="E16" s="17"/>
      <c r="F16" s="18"/>
      <c r="G16" s="2"/>
      <c r="H16" s="2"/>
      <c r="I16" s="2"/>
      <c r="J16" s="2"/>
      <c r="K16" s="2"/>
      <c r="L16" s="2"/>
      <c r="M16" s="2"/>
      <c r="N16" s="2"/>
    </row>
    <row r="17" customFormat="false" ht="32.05" hidden="false" customHeight="true" outlineLevel="0" collapsed="false">
      <c r="A17" s="8"/>
      <c r="B17" s="6" t="s">
        <v>23</v>
      </c>
      <c r="C17" s="7" t="n">
        <f aca="false">SUM(C18:C23)</f>
        <v>7616725.51</v>
      </c>
      <c r="D17" s="7" t="n">
        <f aca="false">SUM(D18:D23)</f>
        <v>6438907.02</v>
      </c>
      <c r="E17" s="7" t="n">
        <f aca="false">C17-D17</f>
        <v>1177818.49</v>
      </c>
      <c r="F17" s="5"/>
      <c r="G17" s="2"/>
      <c r="H17" s="2"/>
      <c r="I17" s="2"/>
      <c r="J17" s="2"/>
      <c r="K17" s="2"/>
      <c r="L17" s="2"/>
      <c r="M17" s="2"/>
      <c r="N17" s="2"/>
    </row>
    <row r="18" customFormat="false" ht="30.55" hidden="false" customHeight="true" outlineLevel="0" collapsed="false">
      <c r="A18" s="14" t="s">
        <v>24</v>
      </c>
      <c r="B18" s="5" t="s">
        <v>25</v>
      </c>
      <c r="C18" s="10" t="n">
        <v>799077.29</v>
      </c>
      <c r="D18" s="10" t="n">
        <v>799077.29</v>
      </c>
      <c r="E18" s="10" t="n">
        <f aca="false">C18-D18</f>
        <v>0</v>
      </c>
      <c r="F18" s="12" t="n">
        <f aca="false">D18/C18</f>
        <v>1</v>
      </c>
      <c r="G18" s="2"/>
      <c r="H18" s="2"/>
      <c r="I18" s="2"/>
      <c r="J18" s="2"/>
      <c r="K18" s="2"/>
      <c r="L18" s="2"/>
      <c r="M18" s="2"/>
      <c r="N18" s="2"/>
    </row>
    <row r="19" customFormat="false" ht="33.55" hidden="false" customHeight="true" outlineLevel="0" collapsed="false">
      <c r="A19" s="14"/>
      <c r="B19" s="8" t="s">
        <v>26</v>
      </c>
      <c r="C19" s="10" t="n">
        <v>216118.94</v>
      </c>
      <c r="D19" s="10" t="n">
        <v>0</v>
      </c>
      <c r="E19" s="10" t="n">
        <f aca="false">C19-D19</f>
        <v>216118.94</v>
      </c>
      <c r="F19" s="12" t="n">
        <f aca="false">D19/C19</f>
        <v>0</v>
      </c>
      <c r="G19" s="2"/>
      <c r="H19" s="2"/>
      <c r="I19" s="2"/>
      <c r="J19" s="2"/>
      <c r="K19" s="2"/>
      <c r="L19" s="2"/>
      <c r="M19" s="2"/>
      <c r="N19" s="2"/>
    </row>
    <row r="20" customFormat="false" ht="44" hidden="false" customHeight="true" outlineLevel="0" collapsed="false">
      <c r="A20" s="14" t="s">
        <v>27</v>
      </c>
      <c r="B20" s="5" t="s">
        <v>28</v>
      </c>
      <c r="C20" s="10" t="n">
        <v>2289445.08</v>
      </c>
      <c r="D20" s="10" t="n">
        <v>1688112.95</v>
      </c>
      <c r="E20" s="10" t="n">
        <f aca="false">C20-D20</f>
        <v>601332.13</v>
      </c>
      <c r="F20" s="12" t="n">
        <f aca="false">D20/C20</f>
        <v>0.737345903051756</v>
      </c>
      <c r="G20" s="2"/>
      <c r="H20" s="2"/>
      <c r="I20" s="2"/>
      <c r="J20" s="2"/>
      <c r="K20" s="2"/>
      <c r="L20" s="2"/>
      <c r="M20" s="2"/>
      <c r="N20" s="2"/>
    </row>
    <row r="21" customFormat="false" ht="31.3" hidden="false" customHeight="true" outlineLevel="0" collapsed="false">
      <c r="A21" s="14"/>
      <c r="B21" s="5" t="s">
        <v>29</v>
      </c>
      <c r="C21" s="10" t="n">
        <v>2303819.15</v>
      </c>
      <c r="D21" s="10" t="n">
        <v>2303819.15</v>
      </c>
      <c r="E21" s="10" t="n">
        <f aca="false">C21-D21</f>
        <v>0</v>
      </c>
      <c r="F21" s="12" t="n">
        <f aca="false">D21/C21</f>
        <v>1</v>
      </c>
      <c r="G21" s="2"/>
      <c r="H21" s="2"/>
      <c r="I21" s="2"/>
      <c r="J21" s="2"/>
      <c r="K21" s="2"/>
      <c r="L21" s="2"/>
      <c r="M21" s="2"/>
      <c r="N21" s="2"/>
    </row>
    <row r="22" customFormat="false" ht="45.5" hidden="false" customHeight="true" outlineLevel="0" collapsed="false">
      <c r="A22" s="14"/>
      <c r="B22" s="5" t="s">
        <v>30</v>
      </c>
      <c r="C22" s="10" t="n">
        <v>151871.71</v>
      </c>
      <c r="D22" s="10" t="n">
        <v>151871.71</v>
      </c>
      <c r="E22" s="10" t="n">
        <f aca="false">C22-D22</f>
        <v>0</v>
      </c>
      <c r="F22" s="12" t="n">
        <f aca="false">D22/C22</f>
        <v>1</v>
      </c>
      <c r="G22" s="2"/>
      <c r="H22" s="2"/>
      <c r="I22" s="2"/>
      <c r="J22" s="2"/>
      <c r="K22" s="2"/>
      <c r="L22" s="2"/>
      <c r="M22" s="2"/>
      <c r="N22" s="2"/>
    </row>
    <row r="23" customFormat="false" ht="44" hidden="false" customHeight="true" outlineLevel="0" collapsed="false">
      <c r="A23" s="14"/>
      <c r="B23" s="5" t="s">
        <v>31</v>
      </c>
      <c r="C23" s="10" t="n">
        <v>1856393.34</v>
      </c>
      <c r="D23" s="10" t="n">
        <v>1496025.92</v>
      </c>
      <c r="E23" s="10" t="n">
        <f aca="false">C23-D23</f>
        <v>360367.42</v>
      </c>
      <c r="F23" s="12" t="n">
        <f aca="false">D23/C23</f>
        <v>0.805877659526617</v>
      </c>
      <c r="G23" s="2"/>
      <c r="H23" s="2"/>
      <c r="I23" s="2"/>
      <c r="J23" s="2"/>
      <c r="K23" s="2"/>
      <c r="L23" s="2"/>
      <c r="M23" s="2"/>
      <c r="N23" s="2"/>
    </row>
    <row r="24" customFormat="false" ht="15.75" hidden="false" customHeight="false" outlineLevel="0" collapsed="false">
      <c r="A24" s="15"/>
      <c r="B24" s="16"/>
      <c r="C24" s="17"/>
      <c r="D24" s="17"/>
      <c r="E24" s="17"/>
      <c r="F24" s="18"/>
      <c r="G24" s="2"/>
      <c r="H24" s="2"/>
      <c r="I24" s="2"/>
      <c r="J24" s="2"/>
      <c r="K24" s="2"/>
      <c r="L24" s="2"/>
      <c r="M24" s="2"/>
      <c r="N24" s="2"/>
    </row>
    <row r="25" customFormat="false" ht="36.55" hidden="false" customHeight="true" outlineLevel="0" collapsed="false">
      <c r="A25" s="8"/>
      <c r="B25" s="6" t="s">
        <v>32</v>
      </c>
      <c r="C25" s="7" t="n">
        <v>10000</v>
      </c>
      <c r="D25" s="7" t="n">
        <v>0</v>
      </c>
      <c r="E25" s="7" t="n">
        <f aca="false">C25-D25</f>
        <v>10000</v>
      </c>
      <c r="F25" s="5"/>
      <c r="G25" s="2"/>
      <c r="H25" s="2"/>
      <c r="I25" s="2"/>
      <c r="J25" s="2"/>
      <c r="K25" s="2"/>
      <c r="L25" s="2"/>
      <c r="M25" s="2"/>
      <c r="N25" s="2"/>
    </row>
    <row r="26" customFormat="false" ht="36.55" hidden="false" customHeight="true" outlineLevel="0" collapsed="false">
      <c r="A26" s="14" t="s">
        <v>33</v>
      </c>
      <c r="B26" s="5" t="s">
        <v>34</v>
      </c>
      <c r="C26" s="10" t="n">
        <v>10000</v>
      </c>
      <c r="D26" s="10" t="n">
        <v>0</v>
      </c>
      <c r="E26" s="19" t="n">
        <f aca="false">C26-D26</f>
        <v>10000</v>
      </c>
      <c r="F26" s="20" t="n">
        <f aca="false">D26/C26</f>
        <v>0</v>
      </c>
      <c r="G26" s="2"/>
      <c r="H26" s="2"/>
      <c r="I26" s="2"/>
      <c r="J26" s="2"/>
      <c r="K26" s="2"/>
      <c r="L26" s="2"/>
      <c r="M26" s="2"/>
      <c r="N26" s="2"/>
    </row>
    <row r="27" customFormat="false" ht="15.75" hidden="false" customHeight="false" outlineLevel="0" collapsed="false">
      <c r="A27" s="15"/>
      <c r="B27" s="16"/>
      <c r="C27" s="17"/>
      <c r="D27" s="17"/>
      <c r="E27" s="17"/>
      <c r="F27" s="18"/>
      <c r="G27" s="2"/>
      <c r="H27" s="2"/>
      <c r="I27" s="2"/>
      <c r="J27" s="2"/>
      <c r="K27" s="2"/>
      <c r="L27" s="2"/>
      <c r="M27" s="2"/>
      <c r="N27" s="2"/>
    </row>
    <row r="28" customFormat="false" ht="34.3" hidden="false" customHeight="true" outlineLevel="0" collapsed="false">
      <c r="A28" s="8"/>
      <c r="B28" s="6" t="s">
        <v>35</v>
      </c>
      <c r="C28" s="7" t="n">
        <f aca="false">SUM(C29:C38)</f>
        <v>494396.41</v>
      </c>
      <c r="D28" s="7" t="n">
        <f aca="false">SUM(D29:D38)</f>
        <v>494396.41</v>
      </c>
      <c r="E28" s="7" t="n">
        <f aca="false">C28-D28</f>
        <v>0</v>
      </c>
      <c r="F28" s="5"/>
      <c r="G28" s="2"/>
      <c r="H28" s="2"/>
      <c r="I28" s="2"/>
      <c r="J28" s="2"/>
      <c r="K28" s="2"/>
      <c r="L28" s="2"/>
      <c r="M28" s="2"/>
      <c r="N28" s="2"/>
    </row>
    <row r="29" customFormat="false" ht="38.8" hidden="false" customHeight="true" outlineLevel="0" collapsed="false">
      <c r="A29" s="14" t="s">
        <v>36</v>
      </c>
      <c r="B29" s="8" t="s">
        <v>37</v>
      </c>
      <c r="C29" s="10" t="n">
        <v>8959.54</v>
      </c>
      <c r="D29" s="10" t="n">
        <v>8959.54</v>
      </c>
      <c r="E29" s="19" t="n">
        <f aca="false">C29-D29</f>
        <v>0</v>
      </c>
      <c r="F29" s="20" t="n">
        <f aca="false">D29/C29</f>
        <v>1</v>
      </c>
      <c r="G29" s="2"/>
      <c r="H29" s="2"/>
      <c r="I29" s="2"/>
      <c r="J29" s="2"/>
      <c r="K29" s="2"/>
      <c r="L29" s="2"/>
      <c r="M29" s="2"/>
      <c r="N29" s="2"/>
    </row>
    <row r="30" customFormat="false" ht="39.55" hidden="false" customHeight="true" outlineLevel="0" collapsed="false">
      <c r="A30" s="14" t="s">
        <v>38</v>
      </c>
      <c r="B30" s="8" t="s">
        <v>37</v>
      </c>
      <c r="C30" s="10" t="n">
        <v>480851.08</v>
      </c>
      <c r="D30" s="10" t="n">
        <v>10923.96</v>
      </c>
      <c r="E30" s="19" t="n">
        <v>0</v>
      </c>
      <c r="F30" s="20" t="n">
        <v>1</v>
      </c>
      <c r="G30" s="2"/>
      <c r="H30" s="2"/>
      <c r="I30" s="2"/>
      <c r="J30" s="2"/>
      <c r="K30" s="2"/>
      <c r="L30" s="2"/>
      <c r="M30" s="2"/>
      <c r="N30" s="2"/>
    </row>
    <row r="31" customFormat="false" ht="15.75" hidden="false" customHeight="false" outlineLevel="0" collapsed="false">
      <c r="A31" s="14"/>
      <c r="B31" s="8" t="s">
        <v>39</v>
      </c>
      <c r="C31" s="10"/>
      <c r="D31" s="10" t="n">
        <v>131529.14</v>
      </c>
      <c r="E31" s="19"/>
      <c r="F31" s="20" t="n">
        <v>1</v>
      </c>
      <c r="G31" s="2"/>
      <c r="H31" s="2"/>
      <c r="I31" s="2"/>
      <c r="J31" s="2"/>
      <c r="K31" s="2"/>
      <c r="L31" s="2"/>
      <c r="M31" s="2"/>
      <c r="N31" s="2"/>
    </row>
    <row r="32" customFormat="false" ht="15.75" hidden="false" customHeight="false" outlineLevel="0" collapsed="false">
      <c r="A32" s="14"/>
      <c r="B32" s="8" t="s">
        <v>40</v>
      </c>
      <c r="C32" s="10"/>
      <c r="D32" s="10" t="n">
        <v>294140</v>
      </c>
      <c r="E32" s="19"/>
      <c r="F32" s="19"/>
      <c r="G32" s="2"/>
      <c r="H32" s="2"/>
      <c r="I32" s="2"/>
      <c r="J32" s="2"/>
      <c r="K32" s="2"/>
      <c r="L32" s="2"/>
      <c r="M32" s="2"/>
      <c r="N32" s="2"/>
    </row>
    <row r="33" customFormat="false" ht="15.75" hidden="false" customHeight="false" outlineLevel="0" collapsed="false">
      <c r="A33" s="14"/>
      <c r="B33" s="8" t="s">
        <v>41</v>
      </c>
      <c r="C33" s="10"/>
      <c r="D33" s="10" t="n">
        <v>2276</v>
      </c>
      <c r="E33" s="19"/>
      <c r="F33" s="19"/>
      <c r="G33" s="2"/>
      <c r="H33" s="2"/>
      <c r="I33" s="2"/>
      <c r="J33" s="2"/>
      <c r="K33" s="2"/>
      <c r="L33" s="2"/>
      <c r="M33" s="2"/>
      <c r="N33" s="2"/>
    </row>
    <row r="34" customFormat="false" ht="15.75" hidden="false" customHeight="false" outlineLevel="0" collapsed="false">
      <c r="A34" s="14"/>
      <c r="B34" s="8" t="s">
        <v>42</v>
      </c>
      <c r="C34" s="10"/>
      <c r="D34" s="10" t="n">
        <v>4950</v>
      </c>
      <c r="E34" s="19"/>
      <c r="F34" s="19"/>
      <c r="G34" s="2"/>
      <c r="H34" s="2"/>
      <c r="I34" s="2"/>
      <c r="J34" s="2"/>
      <c r="K34" s="2"/>
      <c r="L34" s="2"/>
      <c r="M34" s="2"/>
      <c r="N34" s="2"/>
    </row>
    <row r="35" customFormat="false" ht="36.55" hidden="false" customHeight="true" outlineLevel="0" collapsed="false">
      <c r="A35" s="14"/>
      <c r="B35" s="8" t="s">
        <v>43</v>
      </c>
      <c r="C35" s="10"/>
      <c r="D35" s="10" t="n">
        <v>10200</v>
      </c>
      <c r="E35" s="19"/>
      <c r="F35" s="19"/>
      <c r="G35" s="2"/>
      <c r="H35" s="2"/>
      <c r="I35" s="2"/>
      <c r="J35" s="2"/>
      <c r="K35" s="2"/>
      <c r="L35" s="2"/>
      <c r="M35" s="2"/>
      <c r="N35" s="2"/>
    </row>
    <row r="36" customFormat="false" ht="15.75" hidden="false" customHeight="false" outlineLevel="0" collapsed="false">
      <c r="A36" s="14"/>
      <c r="B36" s="8" t="s">
        <v>44</v>
      </c>
      <c r="C36" s="10"/>
      <c r="D36" s="10" t="n">
        <v>1391.98</v>
      </c>
      <c r="E36" s="19"/>
      <c r="F36" s="20"/>
      <c r="G36" s="2"/>
      <c r="H36" s="2"/>
      <c r="I36" s="2"/>
      <c r="J36" s="2"/>
      <c r="K36" s="2"/>
      <c r="L36" s="2"/>
      <c r="M36" s="2"/>
      <c r="N36" s="2"/>
    </row>
    <row r="37" customFormat="false" ht="20.85" hidden="false" customHeight="true" outlineLevel="0" collapsed="false">
      <c r="A37" s="14"/>
      <c r="B37" s="8" t="s">
        <v>45</v>
      </c>
      <c r="C37" s="10"/>
      <c r="D37" s="10" t="n">
        <v>25440</v>
      </c>
      <c r="E37" s="19"/>
      <c r="F37" s="20"/>
      <c r="G37" s="2"/>
      <c r="H37" s="2"/>
      <c r="I37" s="2"/>
      <c r="J37" s="2"/>
      <c r="K37" s="2"/>
      <c r="L37" s="2"/>
      <c r="M37" s="2"/>
      <c r="N37" s="2"/>
    </row>
    <row r="38" customFormat="false" ht="32.8" hidden="false" customHeight="true" outlineLevel="0" collapsed="false">
      <c r="A38" s="14" t="s">
        <v>46</v>
      </c>
      <c r="B38" s="8" t="s">
        <v>37</v>
      </c>
      <c r="C38" s="10" t="n">
        <v>4585.79</v>
      </c>
      <c r="D38" s="10" t="n">
        <v>4585.79</v>
      </c>
      <c r="E38" s="19" t="n">
        <v>0</v>
      </c>
      <c r="F38" s="20" t="n">
        <v>1</v>
      </c>
      <c r="G38" s="2"/>
      <c r="H38" s="2"/>
      <c r="I38" s="2"/>
      <c r="J38" s="2"/>
      <c r="K38" s="2"/>
      <c r="L38" s="2"/>
      <c r="M38" s="2"/>
      <c r="N38" s="2"/>
    </row>
    <row r="39" customFormat="false" ht="15.75" hidden="false" customHeight="false" outlineLevel="0" collapsed="false">
      <c r="A39" s="15"/>
      <c r="B39" s="16"/>
      <c r="C39" s="17"/>
      <c r="D39" s="17"/>
      <c r="E39" s="17"/>
      <c r="F39" s="18"/>
      <c r="G39" s="2"/>
      <c r="H39" s="2"/>
      <c r="I39" s="2"/>
      <c r="J39" s="2"/>
      <c r="K39" s="2"/>
      <c r="L39" s="2"/>
      <c r="M39" s="2"/>
      <c r="N39" s="2"/>
    </row>
    <row r="40" customFormat="false" ht="44" hidden="false" customHeight="false" outlineLevel="0" collapsed="false">
      <c r="A40" s="8"/>
      <c r="B40" s="6" t="s">
        <v>47</v>
      </c>
      <c r="C40" s="7" t="n">
        <f aca="false">SUM(C41:C49)</f>
        <v>15976419.81</v>
      </c>
      <c r="D40" s="7" t="n">
        <f aca="false">SUM(D41:D49)</f>
        <v>12167533.15</v>
      </c>
      <c r="E40" s="7" t="n">
        <f aca="false">C40-D40</f>
        <v>3808886.66</v>
      </c>
      <c r="F40" s="5"/>
      <c r="G40" s="2"/>
      <c r="H40" s="2"/>
      <c r="I40" s="2"/>
      <c r="J40" s="2"/>
      <c r="K40" s="2"/>
      <c r="L40" s="2"/>
      <c r="M40" s="2"/>
      <c r="N40" s="2"/>
    </row>
    <row r="41" customFormat="false" ht="44.25" hidden="false" customHeight="true" outlineLevel="0" collapsed="false">
      <c r="A41" s="14" t="s">
        <v>48</v>
      </c>
      <c r="B41" s="5" t="s">
        <v>49</v>
      </c>
      <c r="C41" s="19" t="n">
        <v>2458567.77</v>
      </c>
      <c r="D41" s="19" t="n">
        <v>2010070.66</v>
      </c>
      <c r="E41" s="10" t="n">
        <f aca="false">C41-D41</f>
        <v>448497.11</v>
      </c>
      <c r="F41" s="20" t="n">
        <f aca="false">D41/C41</f>
        <v>0.817577894141189</v>
      </c>
      <c r="G41" s="2"/>
      <c r="H41" s="2"/>
      <c r="I41" s="2"/>
      <c r="J41" s="2"/>
      <c r="K41" s="2"/>
      <c r="L41" s="2"/>
      <c r="M41" s="2"/>
      <c r="N41" s="2"/>
    </row>
    <row r="42" customFormat="false" ht="33.55" hidden="false" customHeight="true" outlineLevel="0" collapsed="false">
      <c r="A42" s="14" t="s">
        <v>50</v>
      </c>
      <c r="B42" s="5" t="s">
        <v>51</v>
      </c>
      <c r="C42" s="10" t="n">
        <v>491247.58</v>
      </c>
      <c r="D42" s="10" t="n">
        <v>391247.58</v>
      </c>
      <c r="E42" s="10" t="n">
        <f aca="false">C42-D42</f>
        <v>100000</v>
      </c>
      <c r="F42" s="20" t="n">
        <f aca="false">D42/C42</f>
        <v>0.796436656237574</v>
      </c>
      <c r="G42" s="2"/>
      <c r="H42" s="2"/>
      <c r="I42" s="2"/>
      <c r="J42" s="2"/>
      <c r="K42" s="2"/>
      <c r="L42" s="2"/>
      <c r="M42" s="2"/>
      <c r="N42" s="2"/>
    </row>
    <row r="43" customFormat="false" ht="32.8" hidden="false" customHeight="true" outlineLevel="0" collapsed="false">
      <c r="A43" s="14" t="s">
        <v>52</v>
      </c>
      <c r="B43" s="5" t="s">
        <v>53</v>
      </c>
      <c r="C43" s="10" t="n">
        <v>1945268.93</v>
      </c>
      <c r="D43" s="10" t="n">
        <v>1345268.93</v>
      </c>
      <c r="E43" s="10" t="n">
        <f aca="false">C43-D43</f>
        <v>600000</v>
      </c>
      <c r="F43" s="20" t="n">
        <f aca="false">D43/C43</f>
        <v>0.691559356782612</v>
      </c>
      <c r="G43" s="2"/>
      <c r="H43" s="2"/>
      <c r="I43" s="2"/>
      <c r="J43" s="2"/>
      <c r="K43" s="2"/>
      <c r="L43" s="2"/>
      <c r="M43" s="2"/>
      <c r="N43" s="2"/>
    </row>
    <row r="44" customFormat="false" ht="34.3" hidden="false" customHeight="true" outlineLevel="0" collapsed="false">
      <c r="A44" s="14"/>
      <c r="B44" s="5" t="s">
        <v>54</v>
      </c>
      <c r="C44" s="10"/>
      <c r="D44" s="10"/>
      <c r="E44" s="10"/>
      <c r="F44" s="10"/>
      <c r="G44" s="2"/>
      <c r="H44" s="2"/>
      <c r="I44" s="2"/>
      <c r="J44" s="2"/>
      <c r="K44" s="2"/>
      <c r="L44" s="2"/>
      <c r="M44" s="2"/>
      <c r="N44" s="2"/>
    </row>
    <row r="45" customFormat="false" ht="68.65" hidden="false" customHeight="true" outlineLevel="0" collapsed="false">
      <c r="A45" s="14"/>
      <c r="B45" s="5" t="s">
        <v>55</v>
      </c>
      <c r="C45" s="10"/>
      <c r="D45" s="10"/>
      <c r="E45" s="10"/>
      <c r="F45" s="10"/>
      <c r="G45" s="2"/>
      <c r="H45" s="2"/>
      <c r="I45" s="2"/>
      <c r="J45" s="2"/>
      <c r="K45" s="2"/>
      <c r="L45" s="2"/>
      <c r="M45" s="2"/>
      <c r="N45" s="2"/>
    </row>
    <row r="46" customFormat="false" ht="68.65" hidden="false" customHeight="true" outlineLevel="0" collapsed="false">
      <c r="A46" s="14"/>
      <c r="B46" s="5" t="s">
        <v>56</v>
      </c>
      <c r="C46" s="10"/>
      <c r="D46" s="10"/>
      <c r="E46" s="10"/>
      <c r="F46" s="10"/>
      <c r="G46" s="2"/>
      <c r="H46" s="2"/>
      <c r="I46" s="2"/>
      <c r="J46" s="2"/>
      <c r="K46" s="2"/>
      <c r="L46" s="2"/>
      <c r="M46" s="2"/>
      <c r="N46" s="2"/>
    </row>
    <row r="47" customFormat="false" ht="37.5" hidden="false" customHeight="true" outlineLevel="0" collapsed="false">
      <c r="A47" s="14" t="s">
        <v>57</v>
      </c>
      <c r="B47" s="5" t="s">
        <v>58</v>
      </c>
      <c r="C47" s="10" t="n">
        <v>11021335.53</v>
      </c>
      <c r="D47" s="10" t="n">
        <v>8420945.98</v>
      </c>
      <c r="E47" s="10" t="n">
        <f aca="false">C47-D47</f>
        <v>2600389.55</v>
      </c>
      <c r="F47" s="20" t="n">
        <f aca="false">D47/C47</f>
        <v>0.764058580475864</v>
      </c>
      <c r="G47" s="2"/>
      <c r="H47" s="2"/>
      <c r="I47" s="2"/>
      <c r="J47" s="2"/>
      <c r="K47" s="2"/>
      <c r="L47" s="2"/>
      <c r="M47" s="2"/>
      <c r="N47" s="2"/>
    </row>
    <row r="48" customFormat="false" ht="29.85" hidden="false" customHeight="false" outlineLevel="0" collapsed="false">
      <c r="A48" s="14" t="s">
        <v>59</v>
      </c>
      <c r="B48" s="5" t="s">
        <v>60</v>
      </c>
      <c r="C48" s="10" t="n">
        <v>10000</v>
      </c>
      <c r="D48" s="10" t="n">
        <v>0</v>
      </c>
      <c r="E48" s="10" t="n">
        <f aca="false">C48-D48</f>
        <v>10000</v>
      </c>
      <c r="F48" s="20" t="n">
        <f aca="false">D48/C48</f>
        <v>0</v>
      </c>
      <c r="G48" s="2"/>
      <c r="H48" s="2"/>
      <c r="I48" s="2"/>
      <c r="J48" s="2"/>
      <c r="K48" s="2"/>
      <c r="L48" s="2"/>
      <c r="M48" s="2"/>
      <c r="N48" s="2"/>
    </row>
    <row r="49" customFormat="false" ht="29.85" hidden="false" customHeight="false" outlineLevel="0" collapsed="false">
      <c r="A49" s="14" t="s">
        <v>61</v>
      </c>
      <c r="B49" s="5" t="s">
        <v>62</v>
      </c>
      <c r="C49" s="10" t="n">
        <v>50000</v>
      </c>
      <c r="D49" s="10" t="n">
        <v>0</v>
      </c>
      <c r="E49" s="10" t="n">
        <f aca="false">C49-D49</f>
        <v>50000</v>
      </c>
      <c r="F49" s="20" t="n">
        <f aca="false">D49/C49</f>
        <v>0</v>
      </c>
      <c r="G49" s="2"/>
      <c r="H49" s="2"/>
      <c r="I49" s="2"/>
      <c r="J49" s="2"/>
      <c r="K49" s="2"/>
      <c r="L49" s="2"/>
      <c r="M49" s="2"/>
      <c r="N49" s="2"/>
    </row>
    <row r="50" customFormat="false" ht="15.75" hidden="false" customHeight="false" outlineLevel="0" collapsed="false">
      <c r="A50" s="15"/>
      <c r="B50" s="16"/>
      <c r="C50" s="17"/>
      <c r="D50" s="17"/>
      <c r="E50" s="17"/>
      <c r="F50" s="18"/>
      <c r="G50" s="2"/>
      <c r="H50" s="2"/>
      <c r="I50" s="2"/>
      <c r="J50" s="2"/>
      <c r="K50" s="2"/>
      <c r="L50" s="2"/>
      <c r="M50" s="2"/>
      <c r="N50" s="2"/>
    </row>
    <row r="51" customFormat="false" ht="44" hidden="false" customHeight="false" outlineLevel="0" collapsed="false">
      <c r="A51" s="8"/>
      <c r="B51" s="6" t="s">
        <v>63</v>
      </c>
      <c r="C51" s="7" t="n">
        <f aca="false">SUM(C52:C57)</f>
        <v>42742434.39</v>
      </c>
      <c r="D51" s="7" t="n">
        <f aca="false">SUM(D52:D57)</f>
        <v>18008901.44</v>
      </c>
      <c r="E51" s="7" t="n">
        <f aca="false">C51-D51</f>
        <v>24733532.95</v>
      </c>
      <c r="F51" s="5"/>
      <c r="G51" s="2"/>
      <c r="H51" s="2"/>
      <c r="I51" s="2"/>
      <c r="J51" s="2"/>
      <c r="K51" s="2"/>
      <c r="L51" s="2"/>
      <c r="M51" s="2"/>
      <c r="N51" s="2"/>
    </row>
    <row r="52" customFormat="false" ht="29.85" hidden="false" customHeight="false" outlineLevel="0" collapsed="false">
      <c r="A52" s="14" t="s">
        <v>64</v>
      </c>
      <c r="B52" s="5" t="s">
        <v>65</v>
      </c>
      <c r="C52" s="10" t="n">
        <v>10000</v>
      </c>
      <c r="D52" s="10" t="n">
        <v>0</v>
      </c>
      <c r="E52" s="10" t="n">
        <f aca="false">C52-D52</f>
        <v>10000</v>
      </c>
      <c r="F52" s="20" t="n">
        <f aca="false">D52/C52</f>
        <v>0</v>
      </c>
      <c r="G52" s="2"/>
      <c r="H52" s="2"/>
      <c r="I52" s="2"/>
      <c r="J52" s="2"/>
      <c r="K52" s="2"/>
      <c r="L52" s="2"/>
      <c r="M52" s="2"/>
      <c r="N52" s="2"/>
    </row>
    <row r="53" customFormat="false" ht="29.85" hidden="false" customHeight="false" outlineLevel="0" collapsed="false">
      <c r="A53" s="14" t="s">
        <v>13</v>
      </c>
      <c r="B53" s="5" t="s">
        <v>66</v>
      </c>
      <c r="C53" s="10" t="n">
        <v>32200411.59</v>
      </c>
      <c r="D53" s="10" t="n">
        <v>15958497.71</v>
      </c>
      <c r="E53" s="10" t="n">
        <f aca="false">C53-D53</f>
        <v>16241913.88</v>
      </c>
      <c r="F53" s="20" t="n">
        <f aca="false">D53/C53</f>
        <v>0.495599184047573</v>
      </c>
      <c r="G53" s="2"/>
      <c r="H53" s="2"/>
      <c r="I53" s="2"/>
      <c r="J53" s="2"/>
      <c r="K53" s="2"/>
      <c r="L53" s="2"/>
      <c r="M53" s="2"/>
      <c r="N53" s="2"/>
    </row>
    <row r="54" customFormat="false" ht="29.85" hidden="false" customHeight="false" outlineLevel="0" collapsed="false">
      <c r="A54" s="14" t="s">
        <v>67</v>
      </c>
      <c r="B54" s="5" t="s">
        <v>68</v>
      </c>
      <c r="C54" s="10" t="n">
        <v>667077.09</v>
      </c>
      <c r="D54" s="10" t="n">
        <v>667077.09</v>
      </c>
      <c r="E54" s="10" t="n">
        <f aca="false">C54-D54</f>
        <v>0</v>
      </c>
      <c r="F54" s="20" t="n">
        <f aca="false">D54/C54</f>
        <v>1</v>
      </c>
      <c r="G54" s="2"/>
      <c r="H54" s="2"/>
      <c r="I54" s="2"/>
      <c r="J54" s="2"/>
      <c r="K54" s="2"/>
      <c r="L54" s="2"/>
      <c r="M54" s="2"/>
      <c r="N54" s="2"/>
    </row>
    <row r="55" customFormat="false" ht="44" hidden="false" customHeight="false" outlineLevel="0" collapsed="false">
      <c r="A55" s="14" t="s">
        <v>69</v>
      </c>
      <c r="B55" s="5" t="s">
        <v>70</v>
      </c>
      <c r="C55" s="10" t="n">
        <v>100000</v>
      </c>
      <c r="D55" s="10" t="n">
        <v>0</v>
      </c>
      <c r="E55" s="10" t="n">
        <f aca="false">C55-D55</f>
        <v>100000</v>
      </c>
      <c r="F55" s="20" t="n">
        <f aca="false">D55/C55</f>
        <v>0</v>
      </c>
      <c r="G55" s="2"/>
      <c r="H55" s="2"/>
      <c r="I55" s="2"/>
      <c r="J55" s="2"/>
      <c r="K55" s="2"/>
      <c r="L55" s="2"/>
      <c r="M55" s="2"/>
      <c r="N55" s="2"/>
    </row>
    <row r="56" customFormat="false" ht="44" hidden="false" customHeight="false" outlineLevel="0" collapsed="false">
      <c r="A56" s="14" t="s">
        <v>71</v>
      </c>
      <c r="B56" s="5" t="s">
        <v>72</v>
      </c>
      <c r="C56" s="10" t="n">
        <v>1100000</v>
      </c>
      <c r="D56" s="10" t="n">
        <v>0</v>
      </c>
      <c r="E56" s="10" t="n">
        <f aca="false">C56-D56</f>
        <v>1100000</v>
      </c>
      <c r="F56" s="20" t="n">
        <f aca="false">D56/C56</f>
        <v>0</v>
      </c>
      <c r="G56" s="2"/>
      <c r="H56" s="2"/>
      <c r="I56" s="2"/>
      <c r="J56" s="2"/>
      <c r="K56" s="2"/>
      <c r="L56" s="2"/>
      <c r="M56" s="2"/>
      <c r="N56" s="2"/>
    </row>
    <row r="57" customFormat="false" ht="31.3" hidden="false" customHeight="true" outlineLevel="0" collapsed="false">
      <c r="A57" s="14" t="s">
        <v>73</v>
      </c>
      <c r="B57" s="5" t="s">
        <v>74</v>
      </c>
      <c r="C57" s="19" t="n">
        <v>8664945.71</v>
      </c>
      <c r="D57" s="10" t="n">
        <v>1383326.64</v>
      </c>
      <c r="E57" s="10" t="n">
        <f aca="false">C57-D57</f>
        <v>7281619.07</v>
      </c>
      <c r="F57" s="20" t="n">
        <f aca="false">D57/C57</f>
        <v>0.159646313583193</v>
      </c>
      <c r="G57" s="2"/>
      <c r="H57" s="2"/>
      <c r="I57" s="2"/>
      <c r="J57" s="2"/>
      <c r="K57" s="2"/>
      <c r="L57" s="2"/>
      <c r="M57" s="2"/>
      <c r="N57" s="2"/>
    </row>
    <row r="58" customFormat="false" ht="15.75" hidden="false" customHeight="false" outlineLevel="0" collapsed="false">
      <c r="A58" s="15"/>
      <c r="B58" s="16"/>
      <c r="C58" s="17"/>
      <c r="D58" s="17"/>
      <c r="E58" s="17"/>
      <c r="F58" s="18"/>
      <c r="G58" s="2"/>
      <c r="H58" s="2"/>
      <c r="I58" s="2"/>
      <c r="J58" s="2"/>
      <c r="K58" s="2"/>
      <c r="L58" s="2"/>
      <c r="M58" s="2"/>
      <c r="N58" s="2"/>
    </row>
    <row r="59" customFormat="false" ht="35.05" hidden="false" customHeight="true" outlineLevel="0" collapsed="false">
      <c r="A59" s="8"/>
      <c r="B59" s="6" t="s">
        <v>75</v>
      </c>
      <c r="C59" s="7" t="n">
        <f aca="false">SUM(C60:C65)</f>
        <v>16457651.55</v>
      </c>
      <c r="D59" s="7" t="n">
        <f aca="false">SUM(D60:D65)</f>
        <v>4749923.08</v>
      </c>
      <c r="E59" s="7" t="n">
        <f aca="false">C59-D59</f>
        <v>11707728.47</v>
      </c>
      <c r="F59" s="5"/>
      <c r="G59" s="2"/>
      <c r="H59" s="2"/>
      <c r="I59" s="2"/>
      <c r="J59" s="2"/>
      <c r="K59" s="2"/>
      <c r="L59" s="2"/>
      <c r="M59" s="2"/>
      <c r="N59" s="2"/>
    </row>
    <row r="60" customFormat="false" ht="38.05" hidden="false" customHeight="true" outlineLevel="0" collapsed="false">
      <c r="A60" s="14" t="s">
        <v>76</v>
      </c>
      <c r="B60" s="5" t="s">
        <v>77</v>
      </c>
      <c r="C60" s="10" t="n">
        <v>1089076.78</v>
      </c>
      <c r="D60" s="10" t="n">
        <v>1089076.78</v>
      </c>
      <c r="E60" s="19" t="n">
        <f aca="false">C60-D60</f>
        <v>0</v>
      </c>
      <c r="F60" s="20" t="n">
        <f aca="false">D60/C60</f>
        <v>1</v>
      </c>
      <c r="G60" s="2"/>
      <c r="H60" s="2"/>
      <c r="I60" s="2"/>
      <c r="J60" s="2"/>
      <c r="K60" s="2"/>
      <c r="L60" s="2"/>
      <c r="M60" s="2"/>
      <c r="N60" s="2"/>
    </row>
    <row r="61" customFormat="false" ht="39.75" hidden="false" customHeight="true" outlineLevel="0" collapsed="false">
      <c r="A61" s="14" t="s">
        <v>78</v>
      </c>
      <c r="B61" s="5" t="s">
        <v>79</v>
      </c>
      <c r="C61" s="10" t="n">
        <v>2221897.91</v>
      </c>
      <c r="D61" s="10" t="n">
        <v>2221897.91</v>
      </c>
      <c r="E61" s="19" t="n">
        <f aca="false">C61-D61</f>
        <v>0</v>
      </c>
      <c r="F61" s="20" t="n">
        <f aca="false">D61/C61</f>
        <v>1</v>
      </c>
      <c r="G61" s="2"/>
      <c r="H61" s="2"/>
      <c r="I61" s="2"/>
      <c r="J61" s="2"/>
      <c r="K61" s="2"/>
      <c r="L61" s="2"/>
      <c r="M61" s="2"/>
      <c r="N61" s="2"/>
    </row>
    <row r="62" customFormat="false" ht="39.55" hidden="false" customHeight="true" outlineLevel="0" collapsed="false">
      <c r="A62" s="14" t="s">
        <v>78</v>
      </c>
      <c r="B62" s="5" t="s">
        <v>80</v>
      </c>
      <c r="C62" s="10" t="n">
        <v>367376.14</v>
      </c>
      <c r="D62" s="21" t="n">
        <v>0</v>
      </c>
      <c r="E62" s="19" t="n">
        <f aca="false">C62-D62</f>
        <v>367376.14</v>
      </c>
      <c r="F62" s="20" t="n">
        <f aca="false">D62/C62</f>
        <v>0</v>
      </c>
      <c r="G62" s="2"/>
      <c r="H62" s="2"/>
      <c r="I62" s="2"/>
      <c r="J62" s="2"/>
      <c r="K62" s="2"/>
      <c r="L62" s="2"/>
      <c r="M62" s="2"/>
      <c r="N62" s="2"/>
    </row>
    <row r="63" customFormat="false" ht="43.5" hidden="false" customHeight="true" outlineLevel="0" collapsed="false">
      <c r="A63" s="14" t="s">
        <v>81</v>
      </c>
      <c r="B63" s="5" t="s">
        <v>82</v>
      </c>
      <c r="C63" s="10" t="n">
        <v>603892.69</v>
      </c>
      <c r="D63" s="21" t="n">
        <v>0</v>
      </c>
      <c r="E63" s="19" t="n">
        <f aca="false">C63-D63</f>
        <v>603892.69</v>
      </c>
      <c r="F63" s="20" t="n">
        <f aca="false">D63/C63</f>
        <v>0</v>
      </c>
      <c r="G63" s="2"/>
      <c r="H63" s="2"/>
      <c r="I63" s="2"/>
      <c r="J63" s="2"/>
      <c r="K63" s="2"/>
      <c r="L63" s="2"/>
      <c r="M63" s="2"/>
      <c r="N63" s="2"/>
    </row>
    <row r="64" customFormat="false" ht="32.8" hidden="false" customHeight="true" outlineLevel="0" collapsed="false">
      <c r="A64" s="14" t="s">
        <v>83</v>
      </c>
      <c r="B64" s="5" t="s">
        <v>84</v>
      </c>
      <c r="C64" s="10" t="n">
        <v>8513044.96</v>
      </c>
      <c r="D64" s="10" t="n">
        <v>168321</v>
      </c>
      <c r="E64" s="19" t="n">
        <f aca="false">C64-D64</f>
        <v>8344723.96</v>
      </c>
      <c r="F64" s="20" t="n">
        <f aca="false">D64/C64</f>
        <v>0.0197721262827678</v>
      </c>
      <c r="G64" s="2"/>
      <c r="H64" s="2"/>
      <c r="I64" s="2"/>
      <c r="J64" s="2"/>
      <c r="K64" s="2"/>
      <c r="L64" s="2"/>
      <c r="M64" s="2"/>
      <c r="N64" s="2"/>
    </row>
    <row r="65" customFormat="false" ht="40.25" hidden="false" customHeight="true" outlineLevel="0" collapsed="false">
      <c r="A65" s="14" t="s">
        <v>11</v>
      </c>
      <c r="B65" s="5" t="s">
        <v>85</v>
      </c>
      <c r="C65" s="10" t="n">
        <v>3662363.07</v>
      </c>
      <c r="D65" s="10" t="n">
        <v>1270627.39</v>
      </c>
      <c r="E65" s="19" t="n">
        <f aca="false">C65-D65</f>
        <v>2391735.68</v>
      </c>
      <c r="F65" s="20" t="n">
        <f aca="false">D65/C65</f>
        <v>0.34694195133417</v>
      </c>
      <c r="G65" s="2"/>
      <c r="H65" s="2"/>
      <c r="I65" s="2"/>
      <c r="J65" s="2"/>
      <c r="K65" s="2"/>
      <c r="L65" s="2"/>
      <c r="M65" s="2"/>
      <c r="N65" s="2"/>
    </row>
    <row r="66" customFormat="false" ht="15.75" hidden="false" customHeight="true" outlineLevel="0" collapsed="false">
      <c r="A66" s="22" t="s">
        <v>86</v>
      </c>
      <c r="B66" s="22"/>
      <c r="C66" s="23" t="n">
        <f aca="false">SUM(C59,C51,C40,C28,C25,C17,C11,C7,C4)</f>
        <v>200000000</v>
      </c>
      <c r="D66" s="23" t="n">
        <f aca="false">SUM(D59,D51,D40,D28,D25,D17,D11,D7,D4)</f>
        <v>141686982.07</v>
      </c>
      <c r="E66" s="23" t="n">
        <f aca="false">SUM(E59,E51,E40,E28,E25,E17,E11,E7,E4)</f>
        <v>48953017.93</v>
      </c>
      <c r="F66" s="24"/>
      <c r="G66" s="2"/>
      <c r="H66" s="2"/>
      <c r="I66" s="2"/>
      <c r="J66" s="2"/>
      <c r="K66" s="2"/>
      <c r="L66" s="2"/>
      <c r="M66" s="2"/>
      <c r="N66" s="2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2"/>
      <c r="H67" s="2"/>
      <c r="I67" s="2"/>
      <c r="J67" s="2"/>
      <c r="K67" s="2"/>
      <c r="L67" s="2"/>
      <c r="M67" s="2"/>
      <c r="N67" s="2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2"/>
      <c r="H68" s="2"/>
      <c r="I68" s="2"/>
      <c r="J68" s="2"/>
      <c r="K68" s="2"/>
      <c r="L68" s="2"/>
      <c r="M68" s="2"/>
      <c r="N68" s="2"/>
    </row>
    <row r="69" customFormat="false" ht="15.75" hidden="false" customHeight="false" outlineLevel="0" collapsed="false">
      <c r="A69" s="25"/>
      <c r="B69" s="2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customFormat="false" ht="19.7" hidden="false" customHeight="false" outlineLevel="0" collapsed="false">
      <c r="A70" s="26" t="s">
        <v>87</v>
      </c>
      <c r="B70" s="26"/>
      <c r="C70" s="26"/>
      <c r="D70" s="26"/>
      <c r="E70" s="26"/>
      <c r="F70" s="26"/>
      <c r="G70" s="2"/>
      <c r="H70" s="2"/>
      <c r="I70" s="2"/>
      <c r="J70" s="2"/>
      <c r="K70" s="2"/>
      <c r="L70" s="2"/>
      <c r="M70" s="2"/>
      <c r="N70" s="2"/>
    </row>
    <row r="71" customFormat="false" ht="15.75" hidden="false" customHeight="false" outlineLevel="0" collapsed="false">
      <c r="A71" s="25"/>
      <c r="B71" s="2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customFormat="false" ht="29.85" hidden="false" customHeight="false" outlineLevel="0" collapsed="false">
      <c r="A72" s="27" t="s">
        <v>1</v>
      </c>
      <c r="B72" s="27" t="s">
        <v>2</v>
      </c>
      <c r="C72" s="27" t="s">
        <v>3</v>
      </c>
      <c r="D72" s="27" t="s">
        <v>4</v>
      </c>
      <c r="E72" s="27" t="s">
        <v>5</v>
      </c>
      <c r="F72" s="27" t="s">
        <v>6</v>
      </c>
      <c r="G72" s="2"/>
      <c r="H72" s="2"/>
      <c r="I72" s="2"/>
      <c r="J72" s="2"/>
      <c r="K72" s="2"/>
      <c r="L72" s="2"/>
      <c r="M72" s="2"/>
      <c r="N72" s="2"/>
    </row>
    <row r="73" customFormat="false" ht="30" hidden="false" customHeight="true" outlineLevel="0" collapsed="false">
      <c r="A73" s="28"/>
      <c r="B73" s="29" t="s">
        <v>7</v>
      </c>
      <c r="C73" s="30" t="n">
        <f aca="false">SUM(C74)</f>
        <v>38785053.07</v>
      </c>
      <c r="D73" s="30" t="n">
        <f aca="false">SUM(D74)</f>
        <v>16623316.7</v>
      </c>
      <c r="E73" s="30" t="n">
        <f aca="false">C73-D73</f>
        <v>22161736.37</v>
      </c>
      <c r="F73" s="31"/>
      <c r="G73" s="2"/>
      <c r="H73" s="2"/>
      <c r="I73" s="2"/>
      <c r="J73" s="2"/>
      <c r="K73" s="2"/>
      <c r="L73" s="2"/>
      <c r="M73" s="2"/>
      <c r="N73" s="2"/>
    </row>
    <row r="74" customFormat="false" ht="29.85" hidden="false" customHeight="false" outlineLevel="0" collapsed="false">
      <c r="A74" s="32" t="s">
        <v>8</v>
      </c>
      <c r="B74" s="28" t="s">
        <v>9</v>
      </c>
      <c r="C74" s="33" t="n">
        <v>38785053.07</v>
      </c>
      <c r="D74" s="34" t="n">
        <v>16623316.7</v>
      </c>
      <c r="E74" s="34" t="n">
        <f aca="false">C74-D74</f>
        <v>22161736.37</v>
      </c>
      <c r="F74" s="35" t="n">
        <f aca="false">D74/C74</f>
        <v>0.428601107493599</v>
      </c>
      <c r="G74" s="2"/>
      <c r="H74" s="2"/>
      <c r="I74" s="2"/>
      <c r="J74" s="2"/>
      <c r="K74" s="2"/>
      <c r="L74" s="2"/>
      <c r="M74" s="2"/>
      <c r="N74" s="2"/>
    </row>
    <row r="75" customFormat="false" ht="15.75" hidden="false" customHeight="false" outlineLevel="0" collapsed="false">
      <c r="A75" s="28"/>
      <c r="B75" s="28"/>
      <c r="C75" s="36"/>
      <c r="D75" s="36"/>
      <c r="E75" s="36"/>
      <c r="F75" s="28"/>
      <c r="G75" s="2"/>
      <c r="H75" s="2"/>
      <c r="I75" s="2"/>
      <c r="J75" s="2"/>
      <c r="K75" s="2"/>
      <c r="L75" s="2"/>
      <c r="M75" s="2"/>
      <c r="N75" s="2"/>
    </row>
    <row r="76" customFormat="false" ht="44" hidden="false" customHeight="false" outlineLevel="0" collapsed="false">
      <c r="A76" s="28"/>
      <c r="B76" s="29" t="s">
        <v>10</v>
      </c>
      <c r="C76" s="30" t="n">
        <f aca="false">SUM(C77)</f>
        <v>330979.73</v>
      </c>
      <c r="D76" s="30" t="n">
        <f aca="false">SUM(D77)</f>
        <v>0</v>
      </c>
      <c r="E76" s="30" t="n">
        <f aca="false">SUM(E77)</f>
        <v>330979.73</v>
      </c>
      <c r="F76" s="28"/>
      <c r="G76" s="2"/>
      <c r="H76" s="2"/>
      <c r="I76" s="2"/>
      <c r="J76" s="2"/>
      <c r="K76" s="2"/>
      <c r="L76" s="2"/>
      <c r="M76" s="2"/>
      <c r="N76" s="2"/>
    </row>
    <row r="77" customFormat="false" ht="44" hidden="false" customHeight="false" outlineLevel="0" collapsed="false">
      <c r="A77" s="14" t="s">
        <v>88</v>
      </c>
      <c r="B77" s="5" t="s">
        <v>89</v>
      </c>
      <c r="C77" s="10" t="n">
        <v>330979.73</v>
      </c>
      <c r="D77" s="10" t="n">
        <v>0</v>
      </c>
      <c r="E77" s="34" t="n">
        <f aca="false">C77-D77</f>
        <v>330979.73</v>
      </c>
      <c r="F77" s="35" t="n">
        <f aca="false">D77/C77</f>
        <v>0</v>
      </c>
      <c r="G77" s="2"/>
      <c r="H77" s="2"/>
      <c r="I77" s="2"/>
      <c r="J77" s="2"/>
      <c r="K77" s="2"/>
      <c r="L77" s="2"/>
      <c r="M77" s="2"/>
      <c r="N77" s="2"/>
    </row>
    <row r="78" customFormat="false" ht="15.75" hidden="false" customHeight="false" outlineLevel="0" collapsed="false">
      <c r="A78" s="28"/>
      <c r="B78" s="28"/>
      <c r="C78" s="36"/>
      <c r="D78" s="36"/>
      <c r="E78" s="36"/>
      <c r="F78" s="28"/>
      <c r="G78" s="2"/>
      <c r="H78" s="2"/>
      <c r="I78" s="2"/>
      <c r="J78" s="2"/>
      <c r="K78" s="2"/>
      <c r="L78" s="2"/>
      <c r="M78" s="2"/>
      <c r="N78" s="2"/>
    </row>
    <row r="79" customFormat="false" ht="58.2" hidden="false" customHeight="false" outlineLevel="0" collapsed="false">
      <c r="A79" s="31"/>
      <c r="B79" s="29" t="s">
        <v>90</v>
      </c>
      <c r="C79" s="30" t="n">
        <f aca="false">SUM(C80)</f>
        <v>28287581.98</v>
      </c>
      <c r="D79" s="30" t="n">
        <f aca="false">SUM(D80)</f>
        <v>6636904.61</v>
      </c>
      <c r="E79" s="30" t="n">
        <f aca="false">SUM(E80)</f>
        <v>21650677.37</v>
      </c>
      <c r="F79" s="28"/>
      <c r="G79" s="2"/>
      <c r="H79" s="2"/>
      <c r="I79" s="2"/>
      <c r="J79" s="2"/>
      <c r="K79" s="2"/>
      <c r="L79" s="2"/>
      <c r="M79" s="2"/>
      <c r="N79" s="2"/>
    </row>
    <row r="80" customFormat="false" ht="29.85" hidden="false" customHeight="false" outlineLevel="0" collapsed="false">
      <c r="A80" s="14" t="s">
        <v>91</v>
      </c>
      <c r="B80" s="5" t="s">
        <v>92</v>
      </c>
      <c r="C80" s="19" t="n">
        <v>28287581.98</v>
      </c>
      <c r="D80" s="19" t="n">
        <v>6636904.61</v>
      </c>
      <c r="E80" s="34" t="n">
        <f aca="false">C80-D80</f>
        <v>21650677.37</v>
      </c>
      <c r="F80" s="37" t="n">
        <f aca="false">D80/C80</f>
        <v>0.234622549735515</v>
      </c>
      <c r="G80" s="2"/>
      <c r="H80" s="2"/>
      <c r="I80" s="2"/>
      <c r="J80" s="2"/>
      <c r="K80" s="2"/>
      <c r="L80" s="2"/>
      <c r="M80" s="2"/>
      <c r="N80" s="2"/>
    </row>
    <row r="81" customFormat="false" ht="15.75" hidden="false" customHeight="false" outlineLevel="0" collapsed="false">
      <c r="A81" s="28"/>
      <c r="B81" s="28"/>
      <c r="C81" s="36"/>
      <c r="D81" s="36"/>
      <c r="E81" s="36"/>
      <c r="F81" s="28"/>
      <c r="G81" s="2"/>
      <c r="H81" s="2"/>
      <c r="I81" s="2"/>
      <c r="J81" s="2"/>
      <c r="K81" s="2"/>
      <c r="L81" s="2"/>
      <c r="M81" s="2"/>
      <c r="N81" s="2"/>
    </row>
    <row r="82" customFormat="false" ht="29.85" hidden="false" customHeight="false" outlineLevel="0" collapsed="false">
      <c r="A82" s="28"/>
      <c r="B82" s="29" t="s">
        <v>75</v>
      </c>
      <c r="C82" s="30" t="n">
        <f aca="false">SUM(C83)</f>
        <v>1000</v>
      </c>
      <c r="D82" s="30" t="n">
        <f aca="false">SUM(D83)</f>
        <v>0</v>
      </c>
      <c r="E82" s="30" t="n">
        <f aca="false">SUM(E83)</f>
        <v>1000</v>
      </c>
      <c r="F82" s="28"/>
      <c r="G82" s="2"/>
      <c r="H82" s="2"/>
      <c r="I82" s="2"/>
      <c r="J82" s="2"/>
      <c r="K82" s="2"/>
      <c r="L82" s="2"/>
      <c r="M82" s="2"/>
      <c r="N82" s="2"/>
    </row>
    <row r="83" customFormat="false" ht="29.85" hidden="false" customHeight="false" outlineLevel="0" collapsed="false">
      <c r="A83" s="14" t="s">
        <v>81</v>
      </c>
      <c r="B83" s="5" t="s">
        <v>93</v>
      </c>
      <c r="C83" s="10" t="n">
        <v>1000</v>
      </c>
      <c r="D83" s="10" t="n">
        <v>0</v>
      </c>
      <c r="E83" s="34" t="n">
        <f aca="false">C83-D83</f>
        <v>1000</v>
      </c>
      <c r="F83" s="35" t="n">
        <f aca="false">D83/C83</f>
        <v>0</v>
      </c>
      <c r="G83" s="2"/>
      <c r="H83" s="2"/>
      <c r="I83" s="2"/>
      <c r="J83" s="2"/>
      <c r="K83" s="2"/>
      <c r="L83" s="2"/>
      <c r="M83" s="2"/>
      <c r="N83" s="2"/>
    </row>
    <row r="84" customFormat="false" ht="15.75" hidden="false" customHeight="false" outlineLevel="0" collapsed="false">
      <c r="A84" s="38"/>
      <c r="B84" s="3"/>
      <c r="C84" s="39"/>
      <c r="D84" s="39"/>
      <c r="E84" s="39"/>
      <c r="F84" s="3"/>
      <c r="G84" s="2"/>
      <c r="H84" s="2"/>
      <c r="I84" s="2"/>
      <c r="J84" s="2"/>
      <c r="K84" s="2"/>
      <c r="L84" s="2"/>
      <c r="M84" s="2"/>
      <c r="N84" s="2"/>
    </row>
    <row r="85" customFormat="false" ht="44" hidden="false" customHeight="false" outlineLevel="0" collapsed="false">
      <c r="A85" s="31"/>
      <c r="B85" s="6" t="s">
        <v>63</v>
      </c>
      <c r="C85" s="7" t="n">
        <f aca="false">SUM(C86)</f>
        <v>301000</v>
      </c>
      <c r="D85" s="7" t="n">
        <f aca="false">SUM(D86)</f>
        <v>0</v>
      </c>
      <c r="E85" s="7" t="n">
        <f aca="false">SUM(E86)</f>
        <v>301000</v>
      </c>
      <c r="F85" s="28"/>
      <c r="G85" s="2"/>
      <c r="H85" s="2"/>
      <c r="I85" s="2"/>
      <c r="J85" s="2"/>
      <c r="K85" s="2"/>
      <c r="L85" s="2"/>
      <c r="M85" s="2"/>
      <c r="N85" s="2"/>
    </row>
    <row r="86" customFormat="false" ht="44" hidden="false" customHeight="false" outlineLevel="0" collapsed="false">
      <c r="A86" s="14" t="s">
        <v>94</v>
      </c>
      <c r="B86" s="5" t="s">
        <v>95</v>
      </c>
      <c r="C86" s="10" t="n">
        <v>301000</v>
      </c>
      <c r="D86" s="10" t="n">
        <v>0</v>
      </c>
      <c r="E86" s="34" t="n">
        <f aca="false">C86-D86</f>
        <v>301000</v>
      </c>
      <c r="F86" s="37" t="n">
        <v>0</v>
      </c>
      <c r="G86" s="2"/>
      <c r="H86" s="2"/>
      <c r="I86" s="2"/>
      <c r="J86" s="2"/>
      <c r="K86" s="2"/>
      <c r="L86" s="2"/>
      <c r="M86" s="2"/>
      <c r="N86" s="2"/>
    </row>
    <row r="87" customFormat="false" ht="15.75" hidden="false" customHeight="false" outlineLevel="0" collapsed="false">
      <c r="A87" s="38"/>
      <c r="B87" s="3"/>
      <c r="C87" s="39"/>
      <c r="D87" s="39"/>
      <c r="E87" s="39"/>
      <c r="F87" s="3"/>
      <c r="G87" s="2"/>
      <c r="H87" s="2"/>
      <c r="I87" s="2"/>
      <c r="J87" s="2"/>
      <c r="K87" s="2"/>
      <c r="L87" s="2"/>
      <c r="M87" s="2"/>
      <c r="N87" s="2"/>
    </row>
    <row r="88" customFormat="false" ht="29.85" hidden="false" customHeight="false" outlineLevel="0" collapsed="false">
      <c r="A88" s="31"/>
      <c r="B88" s="29" t="s">
        <v>23</v>
      </c>
      <c r="C88" s="30" t="n">
        <f aca="false">SUM(C89)</f>
        <v>9020.27</v>
      </c>
      <c r="D88" s="30" t="n">
        <f aca="false">SUM(D89)</f>
        <v>0</v>
      </c>
      <c r="E88" s="30" t="n">
        <f aca="false">SUM(E89)</f>
        <v>9020.27</v>
      </c>
      <c r="F88" s="28"/>
      <c r="G88" s="2"/>
      <c r="H88" s="2"/>
      <c r="I88" s="2"/>
      <c r="J88" s="2"/>
      <c r="K88" s="2"/>
      <c r="L88" s="2"/>
      <c r="M88" s="2"/>
      <c r="N88" s="2"/>
    </row>
    <row r="89" customFormat="false" ht="29.85" hidden="false" customHeight="false" outlineLevel="0" collapsed="false">
      <c r="A89" s="14" t="s">
        <v>88</v>
      </c>
      <c r="B89" s="8" t="s">
        <v>96</v>
      </c>
      <c r="C89" s="10" t="n">
        <v>9020.27</v>
      </c>
      <c r="D89" s="10" t="n">
        <v>0</v>
      </c>
      <c r="E89" s="34" t="n">
        <f aca="false">C89-D89</f>
        <v>9020.27</v>
      </c>
      <c r="F89" s="37" t="n">
        <f aca="false">D89/C89</f>
        <v>0</v>
      </c>
      <c r="G89" s="2"/>
      <c r="H89" s="2"/>
      <c r="I89" s="2"/>
      <c r="J89" s="2"/>
      <c r="K89" s="2"/>
      <c r="L89" s="2"/>
      <c r="M89" s="2"/>
      <c r="N89" s="2"/>
    </row>
    <row r="90" customFormat="false" ht="15.75" hidden="false" customHeight="false" outlineLevel="0" collapsed="false">
      <c r="A90" s="38"/>
      <c r="B90" s="3"/>
      <c r="C90" s="39"/>
      <c r="D90" s="39"/>
      <c r="E90" s="39"/>
      <c r="F90" s="3"/>
      <c r="G90" s="2"/>
      <c r="H90" s="2"/>
      <c r="I90" s="2"/>
      <c r="J90" s="2"/>
      <c r="K90" s="2"/>
      <c r="L90" s="2"/>
      <c r="M90" s="2"/>
      <c r="N90" s="2"/>
    </row>
    <row r="91" customFormat="false" ht="44" hidden="false" customHeight="false" outlineLevel="0" collapsed="false">
      <c r="A91" s="31"/>
      <c r="B91" s="29" t="s">
        <v>47</v>
      </c>
      <c r="C91" s="30" t="n">
        <f aca="false">SUM(C92:C93)</f>
        <v>12285364.95</v>
      </c>
      <c r="D91" s="30" t="n">
        <f aca="false">SUM(D92:D93)</f>
        <v>11863071.38</v>
      </c>
      <c r="E91" s="30" t="n">
        <f aca="false">SUM(E92:E93)</f>
        <v>422293.569999999</v>
      </c>
      <c r="F91" s="28"/>
      <c r="G91" s="2"/>
      <c r="H91" s="2"/>
      <c r="I91" s="2"/>
      <c r="J91" s="2"/>
      <c r="K91" s="2"/>
      <c r="L91" s="2"/>
      <c r="M91" s="2"/>
      <c r="N91" s="2"/>
    </row>
    <row r="92" customFormat="false" ht="44" hidden="false" customHeight="false" outlineLevel="0" collapsed="false">
      <c r="A92" s="14" t="s">
        <v>48</v>
      </c>
      <c r="B92" s="5" t="s">
        <v>97</v>
      </c>
      <c r="C92" s="19" t="n">
        <v>12284364.95</v>
      </c>
      <c r="D92" s="19" t="n">
        <v>11863071.38</v>
      </c>
      <c r="E92" s="34" t="n">
        <f aca="false">C92-D92</f>
        <v>421293.569999998</v>
      </c>
      <c r="F92" s="37" t="n">
        <f aca="false">D92/C92</f>
        <v>0.965704896287699</v>
      </c>
      <c r="G92" s="2"/>
      <c r="H92" s="2"/>
      <c r="I92" s="2"/>
      <c r="J92" s="2"/>
      <c r="K92" s="2"/>
      <c r="L92" s="2"/>
      <c r="M92" s="2"/>
      <c r="N92" s="2"/>
    </row>
    <row r="93" customFormat="false" ht="29.85" hidden="false" customHeight="false" outlineLevel="0" collapsed="false">
      <c r="A93" s="14" t="s">
        <v>52</v>
      </c>
      <c r="B93" s="5" t="s">
        <v>98</v>
      </c>
      <c r="C93" s="10" t="n">
        <v>1000</v>
      </c>
      <c r="D93" s="10" t="n">
        <v>0</v>
      </c>
      <c r="E93" s="34" t="n">
        <f aca="false">C93-D93</f>
        <v>1000</v>
      </c>
      <c r="F93" s="37" t="n">
        <f aca="false">D93/C93</f>
        <v>0</v>
      </c>
      <c r="G93" s="2"/>
      <c r="H93" s="2"/>
      <c r="I93" s="2"/>
      <c r="J93" s="2"/>
      <c r="K93" s="2"/>
      <c r="L93" s="2"/>
      <c r="M93" s="2"/>
      <c r="N93" s="2"/>
    </row>
    <row r="94" customFormat="false" ht="15.75" hidden="false" customHeight="true" outlineLevel="0" collapsed="false">
      <c r="A94" s="40" t="s">
        <v>86</v>
      </c>
      <c r="B94" s="40"/>
      <c r="C94" s="41" t="n">
        <f aca="false">SUM(C91,C88,C85,C82,C79,C76,C73)</f>
        <v>80000000</v>
      </c>
      <c r="D94" s="41" t="n">
        <f aca="false">SUM(D91,D88,D85,D82,D79,D76,D73)</f>
        <v>35123292.69</v>
      </c>
      <c r="E94" s="41" t="n">
        <f aca="false">SUM(E91,E88,E85,E82,E79,E76,E73)</f>
        <v>44876707.31</v>
      </c>
      <c r="F94" s="42"/>
      <c r="G94" s="2"/>
      <c r="H94" s="2"/>
      <c r="I94" s="2"/>
      <c r="J94" s="2"/>
      <c r="K94" s="2"/>
      <c r="L94" s="2"/>
      <c r="M94" s="2"/>
      <c r="N94" s="2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2"/>
      <c r="H95" s="2"/>
      <c r="I95" s="2"/>
      <c r="J95" s="2"/>
      <c r="K95" s="2"/>
      <c r="L95" s="2"/>
      <c r="M95" s="2"/>
      <c r="N95" s="2"/>
    </row>
    <row r="96" customFormat="false" ht="15.75" hidden="false" customHeight="false" outlineLevel="0" collapsed="false">
      <c r="A96" s="2"/>
      <c r="B96" s="2"/>
      <c r="C96" s="2"/>
      <c r="D96" s="43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customFormat="false" ht="15.75" hidden="false" customHeight="false" outlineLevel="0" collapsed="false">
      <c r="A101" s="2"/>
      <c r="B101" s="2"/>
      <c r="C101" s="2"/>
      <c r="D101" s="44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5">
    <mergeCell ref="A1:F1"/>
    <mergeCell ref="A18:A19"/>
    <mergeCell ref="A20:A23"/>
    <mergeCell ref="A30:A37"/>
    <mergeCell ref="C30:C37"/>
    <mergeCell ref="E30:E37"/>
    <mergeCell ref="F31:F36"/>
    <mergeCell ref="A43:A46"/>
    <mergeCell ref="C43:C46"/>
    <mergeCell ref="D43:D46"/>
    <mergeCell ref="E43:E46"/>
    <mergeCell ref="F43:F46"/>
    <mergeCell ref="A66:B66"/>
    <mergeCell ref="A70:F70"/>
    <mergeCell ref="A94:B94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2026-07-15T09:40:43Z</dcterms:modified>
  <cp:revision>2</cp:revision>
  <dc:subject/>
  <dc:title/>
</cp:coreProperties>
</file>